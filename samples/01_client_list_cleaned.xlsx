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jhura\Desktop\Dev_Journey\Online jobs\drafts\jennevie_portfolio\site\samples\"/>
    </mc:Choice>
  </mc:AlternateContent>
  <xr:revisionPtr revIDLastSave="0" documentId="13_ncr:1_{544B6C2D-2F36-4D3B-823C-E8AD7CBEAEF9}" xr6:coauthVersionLast="47" xr6:coauthVersionMax="47" xr10:uidLastSave="{00000000-0000-0000-0000-000000000000}"/>
  <bookViews>
    <workbookView xWindow="1170" yWindow="1170" windowWidth="21600" windowHeight="11295" xr2:uid="{00000000-000D-0000-FFFF-FFFF00000000}"/>
  </bookViews>
  <sheets>
    <sheet name="Read Me" sheetId="1" r:id="rId1"/>
    <sheet name="Raw Data" sheetId="2" r:id="rId2"/>
    <sheet name="Clean List" sheetId="3" r:id="rId3"/>
    <sheet name="Summary" sheetId="4" r:id="rId4"/>
    <sheet name="Change Log" sheetId="5" r:id="rId5"/>
  </sheets>
  <definedNames>
    <definedName name="_xlnm._FilterDatabase" localSheetId="2" hidden="1">'Clean List'!$A$1:$K$33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6" i="4" l="1"/>
  <c r="B14" i="4"/>
  <c r="B13" i="4"/>
  <c r="B8" i="4"/>
  <c r="B7" i="4"/>
  <c r="B6" i="4"/>
  <c r="B9" i="4" s="1"/>
  <c r="I33" i="3"/>
  <c r="J33" i="3" s="1"/>
  <c r="I32" i="3"/>
  <c r="J32" i="3" s="1"/>
  <c r="I31" i="3"/>
  <c r="J31" i="3" s="1"/>
  <c r="I30" i="3"/>
  <c r="J30" i="3" s="1"/>
  <c r="I29" i="3"/>
  <c r="J29" i="3" s="1"/>
  <c r="I28" i="3"/>
  <c r="J28" i="3" s="1"/>
  <c r="I27" i="3"/>
  <c r="J27" i="3" s="1"/>
  <c r="I26" i="3"/>
  <c r="J26" i="3" s="1"/>
  <c r="I25" i="3"/>
  <c r="J25" i="3" s="1"/>
  <c r="I24" i="3"/>
  <c r="J24" i="3" s="1"/>
  <c r="I23" i="3"/>
  <c r="J23" i="3" s="1"/>
  <c r="I22" i="3"/>
  <c r="J22" i="3" s="1"/>
  <c r="I21" i="3"/>
  <c r="J21" i="3" s="1"/>
  <c r="I20" i="3"/>
  <c r="J20" i="3" s="1"/>
  <c r="I19" i="3"/>
  <c r="J19" i="3" s="1"/>
  <c r="I18" i="3"/>
  <c r="J18" i="3" s="1"/>
  <c r="I17" i="3"/>
  <c r="J17" i="3" s="1"/>
  <c r="I16" i="3"/>
  <c r="J16" i="3" s="1"/>
  <c r="I15" i="3"/>
  <c r="J15" i="3" s="1"/>
  <c r="I14" i="3"/>
  <c r="J14" i="3" s="1"/>
  <c r="I13" i="3"/>
  <c r="J13" i="3" s="1"/>
  <c r="I12" i="3"/>
  <c r="J12" i="3" s="1"/>
  <c r="I11" i="3"/>
  <c r="J11" i="3" s="1"/>
  <c r="I10" i="3"/>
  <c r="J10" i="3" s="1"/>
  <c r="I9" i="3"/>
  <c r="J9" i="3" s="1"/>
  <c r="I8" i="3"/>
  <c r="J8" i="3" s="1"/>
  <c r="I7" i="3"/>
  <c r="J7" i="3" s="1"/>
  <c r="I6" i="3"/>
  <c r="J6" i="3" s="1"/>
  <c r="I5" i="3"/>
  <c r="J5" i="3" s="1"/>
  <c r="I4" i="3"/>
  <c r="J4" i="3" s="1"/>
  <c r="I3" i="3"/>
  <c r="J3" i="3" s="1"/>
  <c r="I2" i="3"/>
  <c r="J2" i="3" s="1"/>
  <c r="B12" i="4" l="1"/>
  <c r="B17" i="4"/>
  <c r="B11" i="4"/>
  <c r="B10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Jennevie</author>
  </authors>
  <commentList>
    <comment ref="B3" authorId="0" shapeId="0" xr:uid="{00000000-0006-0000-0300-000001000000}">
      <text>
        <r>
          <rPr>
            <sz val="11"/>
            <color theme="1"/>
            <rFont val="Calibri"/>
            <family val="2"/>
            <scheme val="minor"/>
          </rPr>
          <t>Input: change this date and the whole workbook updates.</t>
        </r>
      </text>
    </comment>
    <comment ref="B15" authorId="0" shapeId="0" xr:uid="{00000000-0006-0000-0300-000002000000}">
      <text>
        <r>
          <rPr>
            <sz val="11"/>
            <color theme="1"/>
            <rFont val="Calibri"/>
            <family val="2"/>
            <scheme val="minor"/>
          </rPr>
          <t>Counted during cleanup: same email entered twice in the raw export.</t>
        </r>
      </text>
    </comment>
  </commentList>
</comments>
</file>

<file path=xl/sharedStrings.xml><?xml version="1.0" encoding="utf-8"?>
<sst xmlns="http://schemas.openxmlformats.org/spreadsheetml/2006/main" count="515" uniqueCount="383">
  <si>
    <t>Larkspur Lane Veterinary Clinic - Client List Cleanup</t>
  </si>
  <si>
    <t>AI-assisted sample by Jennevie Javier. Fictional clinic and fictional client data.</t>
  </si>
  <si>
    <t>What this file shows</t>
  </si>
  <si>
    <t>The clinic exported its client list from an old system (tab 'Raw Data'). It had mixed name</t>
  </si>
  <si>
    <t>formats, inconsistent phone numbers and dates, duplicate clients, and pet types spelled</t>
  </si>
  <si>
    <t>several ways. The cleaned list is in 'Clean List', and 'Summary' counts it with formulas.</t>
  </si>
  <si>
    <t>How to use it</t>
  </si>
  <si>
    <t>1. Change the yellow Report Date on the 'Summary' tab. Days Since Visit and Reminder update.</t>
  </si>
  <si>
    <t>2. 'Reminder' flags pets due for their yearly check (365+ days since last visit).</t>
  </si>
  <si>
    <t>3. Rows shaded orange need a follow-up with the client (missing phone or invalid email).</t>
  </si>
  <si>
    <t>Legend</t>
  </si>
  <si>
    <t>Blue text on yellow = input you can change. Black text = formula or cleaned data.</t>
  </si>
  <si>
    <t>Owner Name</t>
  </si>
  <si>
    <t>Email</t>
  </si>
  <si>
    <t>Phone</t>
  </si>
  <si>
    <t>Pet Name</t>
  </si>
  <si>
    <t>Pet Type</t>
  </si>
  <si>
    <t>Last Visit</t>
  </si>
  <si>
    <t>MARIA SANTOS</t>
  </si>
  <si>
    <t>MARIA.SANTOS@EXAMPLE.COM</t>
  </si>
  <si>
    <t>(217) 555-0100</t>
  </si>
  <si>
    <t>buddy</t>
  </si>
  <si>
    <t xml:space="preserve"> Dog</t>
  </si>
  <si>
    <t>2026-03-30</t>
  </si>
  <si>
    <t>james miller</t>
  </si>
  <si>
    <t xml:space="preserve"> james.miller@example.com </t>
  </si>
  <si>
    <t>312.555.0101</t>
  </si>
  <si>
    <t>Luna</t>
  </si>
  <si>
    <t xml:space="preserve">Cat </t>
  </si>
  <si>
    <t>06/26/2026</t>
  </si>
  <si>
    <t xml:space="preserve">  Linda   Reyes </t>
  </si>
  <si>
    <t>linda.reyes@example.com</t>
  </si>
  <si>
    <t>4155550102</t>
  </si>
  <si>
    <t>Max</t>
  </si>
  <si>
    <t>canine</t>
  </si>
  <si>
    <t>21 Feb 2026</t>
  </si>
  <si>
    <t>Johnson, Robert</t>
  </si>
  <si>
    <t>ROBERT.JOHNSON@EXAMPLE.COM</t>
  </si>
  <si>
    <t>+1 512 555 0103</t>
  </si>
  <si>
    <t>Bella</t>
  </si>
  <si>
    <t>dog</t>
  </si>
  <si>
    <t>October 13, 2025</t>
  </si>
  <si>
    <t>Patricia Garcia</t>
  </si>
  <si>
    <t xml:space="preserve"> patricia.garcia@example.com </t>
  </si>
  <si>
    <t>(602) 555-0104</t>
  </si>
  <si>
    <t>milo</t>
  </si>
  <si>
    <t>Cat</t>
  </si>
  <si>
    <t>2026-08-18</t>
  </si>
  <si>
    <t>MICHAEL BROWN</t>
  </si>
  <si>
    <t>michael.brown@example.com</t>
  </si>
  <si>
    <t>702.555.0105</t>
  </si>
  <si>
    <t>Coco</t>
  </si>
  <si>
    <t>08/05/2026</t>
  </si>
  <si>
    <t>jennifer cruz</t>
  </si>
  <si>
    <t>JENNIFER.CRUZ@EXAMPLE.COM</t>
  </si>
  <si>
    <t>8085550106</t>
  </si>
  <si>
    <t>Oreo</t>
  </si>
  <si>
    <t>18 Jul 2025</t>
  </si>
  <si>
    <t xml:space="preserve">  David   Davis </t>
  </si>
  <si>
    <t xml:space="preserve"> david.davis@example.com </t>
  </si>
  <si>
    <t>+1 919 555 0107</t>
  </si>
  <si>
    <t>Rocky</t>
  </si>
  <si>
    <t>Dog</t>
  </si>
  <si>
    <t>December 11, 2025</t>
  </si>
  <si>
    <t>Lopez, Susan</t>
  </si>
  <si>
    <t>susan.lopez@example.com</t>
  </si>
  <si>
    <t>(217) 555-0108</t>
  </si>
  <si>
    <t>nala</t>
  </si>
  <si>
    <t>CAT</t>
  </si>
  <si>
    <t>2026-07-25</t>
  </si>
  <si>
    <t>Daniel Wilson</t>
  </si>
  <si>
    <t>DANIEL.WILSON@EXAMPLE.COM</t>
  </si>
  <si>
    <t>Charlie</t>
  </si>
  <si>
    <t>03/08/2026</t>
  </si>
  <si>
    <t>KAREN TORRES</t>
  </si>
  <si>
    <t xml:space="preserve"> karen.torres@example.com </t>
  </si>
  <si>
    <t>4155550110</t>
  </si>
  <si>
    <t>Simba</t>
  </si>
  <si>
    <t>17 Nov 2025</t>
  </si>
  <si>
    <t>mark moore</t>
  </si>
  <si>
    <t>mark.moore@example.com</t>
  </si>
  <si>
    <t>+1 512 555 0111</t>
  </si>
  <si>
    <t>Daisy</t>
  </si>
  <si>
    <t>August 13, 2026</t>
  </si>
  <si>
    <t xml:space="preserve">  Nancy   Ramos </t>
  </si>
  <si>
    <t>NANCY.RAMOS@EXAMPLE.COM</t>
  </si>
  <si>
    <t>(602) 555-0112</t>
  </si>
  <si>
    <t>thumper</t>
  </si>
  <si>
    <t>rabbit</t>
  </si>
  <si>
    <t>2025-12-26</t>
  </si>
  <si>
    <t>Taylor, Paul</t>
  </si>
  <si>
    <t xml:space="preserve"> paul.taylor@example.com </t>
  </si>
  <si>
    <t>702.555.0113</t>
  </si>
  <si>
    <t>Lucky</t>
  </si>
  <si>
    <t>05/25/2026</t>
  </si>
  <si>
    <t>Lisa Flores</t>
  </si>
  <si>
    <t>lisa.floresexample.com</t>
  </si>
  <si>
    <t>8085550114</t>
  </si>
  <si>
    <t>Mochi</t>
  </si>
  <si>
    <t>23 Aug 2026</t>
  </si>
  <si>
    <t>STEVEN ANDERSON</t>
  </si>
  <si>
    <t>STEVEN.ANDERSON@EXAMPLE.COM</t>
  </si>
  <si>
    <t>+1 919 555 0115</t>
  </si>
  <si>
    <t>Bruno</t>
  </si>
  <si>
    <t>July 29, 2026</t>
  </si>
  <si>
    <t>emily navarro</t>
  </si>
  <si>
    <t xml:space="preserve"> emily.navarro@example.com </t>
  </si>
  <si>
    <t>(217) 555-0116</t>
  </si>
  <si>
    <t>kitkat</t>
  </si>
  <si>
    <t>2026-02-01</t>
  </si>
  <si>
    <t xml:space="preserve">  Kevin   Thomas </t>
  </si>
  <si>
    <t>kevin.thomas@example.com</t>
  </si>
  <si>
    <t>312.555.0117</t>
  </si>
  <si>
    <t>Choco</t>
  </si>
  <si>
    <t>02/09/2026</t>
  </si>
  <si>
    <t>Rivera, Grace</t>
  </si>
  <si>
    <t>GRACE.RIVERA@EXAMPLE.COM</t>
  </si>
  <si>
    <t>4155550118</t>
  </si>
  <si>
    <t>Snowy</t>
  </si>
  <si>
    <t>bunny</t>
  </si>
  <si>
    <t>07 Aug 2026</t>
  </si>
  <si>
    <t>Brian Jackson</t>
  </si>
  <si>
    <t xml:space="preserve"> brian.jackson@example.com </t>
  </si>
  <si>
    <t>+1 512 555 0119</t>
  </si>
  <si>
    <t>Ginger</t>
  </si>
  <si>
    <t>May 11, 2026</t>
  </si>
  <si>
    <t>Linda   Reyes</t>
  </si>
  <si>
    <t>ANGELA MENDOZA</t>
  </si>
  <si>
    <t>angela.mendoza@example.com</t>
  </si>
  <si>
    <t>(602) 555-0120</t>
  </si>
  <si>
    <t>duke</t>
  </si>
  <si>
    <t>2026-07-27</t>
  </si>
  <si>
    <t>jason white</t>
  </si>
  <si>
    <t>JASON.WHITE@EXAMPLE.COM</t>
  </si>
  <si>
    <t>Pepper</t>
  </si>
  <si>
    <t>12/03/2025</t>
  </si>
  <si>
    <t>Rachel Castillo</t>
  </si>
  <si>
    <t>rachel.castillo@example.com</t>
  </si>
  <si>
    <t>(217) 555-0124</t>
  </si>
  <si>
    <t>biscuit</t>
  </si>
  <si>
    <t>2025-07-15</t>
  </si>
  <si>
    <t xml:space="preserve">  Melissa   Bautista </t>
  </si>
  <si>
    <t xml:space="preserve"> melissa.bautista@example.com </t>
  </si>
  <si>
    <t>8085550122</t>
  </si>
  <si>
    <t>Lola</t>
  </si>
  <si>
    <t>06 Feb 2026</t>
  </si>
  <si>
    <t>Harris, Ryan</t>
  </si>
  <si>
    <t>ryan.harris@example.com</t>
  </si>
  <si>
    <t>+1 919 555 0123</t>
  </si>
  <si>
    <t>Tiger</t>
  </si>
  <si>
    <t>August 12, 2026</t>
  </si>
  <si>
    <t>RACHEL.CASTILLO@EXAMPLE.COM</t>
  </si>
  <si>
    <t>ERIC MARTIN</t>
  </si>
  <si>
    <t xml:space="preserve"> eric.martin@example.com </t>
  </si>
  <si>
    <t>312.555.0125</t>
  </si>
  <si>
    <t>Cleo</t>
  </si>
  <si>
    <t>11/26/2025</t>
  </si>
  <si>
    <t>laura aquino</t>
  </si>
  <si>
    <t>laura.aquino@example.com</t>
  </si>
  <si>
    <t>4155550126</t>
  </si>
  <si>
    <t>Zeus</t>
  </si>
  <si>
    <t>10 Jul 2026</t>
  </si>
  <si>
    <t xml:space="preserve">  Adam   Clark </t>
  </si>
  <si>
    <t>ADAM.CLARK@EXAMPLE.COM</t>
  </si>
  <si>
    <t>+1 512 555 0127</t>
  </si>
  <si>
    <t>Misty</t>
  </si>
  <si>
    <t>May 20, 2026</t>
  </si>
  <si>
    <t>grace.rivera@example.com</t>
  </si>
  <si>
    <t>David   Davis</t>
  </si>
  <si>
    <t>david.davis@example.com</t>
  </si>
  <si>
    <t>Villanueva, Megan</t>
  </si>
  <si>
    <t xml:space="preserve"> megan.villanueva@example.com </t>
  </si>
  <si>
    <t>(602) 555-0128</t>
  </si>
  <si>
    <t>teddy</t>
  </si>
  <si>
    <t>2025-10-24</t>
  </si>
  <si>
    <t>Tyler Lewis</t>
  </si>
  <si>
    <t>tyler.lewis@example.com</t>
  </si>
  <si>
    <t>702.555.0129</t>
  </si>
  <si>
    <t>Shadow</t>
  </si>
  <si>
    <t>feline</t>
  </si>
  <si>
    <t>10/25/2025</t>
  </si>
  <si>
    <t>HANNAH DELA CRUZ</t>
  </si>
  <si>
    <t>HANNAH.DELACRUZ@EXAMPLE.COM</t>
  </si>
  <si>
    <t>8085550130</t>
  </si>
  <si>
    <t>Peanut</t>
  </si>
  <si>
    <t>sean walker</t>
  </si>
  <si>
    <t xml:space="preserve"> sean.walker@example.com </t>
  </si>
  <si>
    <t>+1 919 555 0131</t>
  </si>
  <si>
    <t>Whiskers</t>
  </si>
  <si>
    <t>August 11, 2026</t>
  </si>
  <si>
    <t>Client ID</t>
  </si>
  <si>
    <t>First Name</t>
  </si>
  <si>
    <t>Last Name</t>
  </si>
  <si>
    <t>Species</t>
  </si>
  <si>
    <t>Days Since Visit</t>
  </si>
  <si>
    <t>Reminder</t>
  </si>
  <si>
    <t>Follow-up Note</t>
  </si>
  <si>
    <t>LLV-001</t>
  </si>
  <si>
    <t>Steven</t>
  </si>
  <si>
    <t>Anderson</t>
  </si>
  <si>
    <t>steven.anderson@example.com</t>
  </si>
  <si>
    <t>(919) 555-0115</t>
  </si>
  <si>
    <t>LLV-002</t>
  </si>
  <si>
    <t>Laura</t>
  </si>
  <si>
    <t>Aquino</t>
  </si>
  <si>
    <t>(415) 555-0126</t>
  </si>
  <si>
    <t>LLV-003</t>
  </si>
  <si>
    <t>Melissa</t>
  </si>
  <si>
    <t>Bautista</t>
  </si>
  <si>
    <t>melissa.bautista@example.com</t>
  </si>
  <si>
    <t>(808) 555-0122</t>
  </si>
  <si>
    <t>LLV-004</t>
  </si>
  <si>
    <t>Michael</t>
  </si>
  <si>
    <t>Brown</t>
  </si>
  <si>
    <t>(702) 555-0105</t>
  </si>
  <si>
    <t>LLV-005</t>
  </si>
  <si>
    <t>Rachel</t>
  </si>
  <si>
    <t>Castillo</t>
  </si>
  <si>
    <t>Biscuit</t>
  </si>
  <si>
    <t>LLV-006</t>
  </si>
  <si>
    <t>Adam</t>
  </si>
  <si>
    <t>Clark</t>
  </si>
  <si>
    <t>adam.clark@example.com</t>
  </si>
  <si>
    <t>(512) 555-0127</t>
  </si>
  <si>
    <t>LLV-007</t>
  </si>
  <si>
    <t>Jennifer</t>
  </si>
  <si>
    <t>Cruz</t>
  </si>
  <si>
    <t>jennifer.cruz@example.com</t>
  </si>
  <si>
    <t>(808) 555-0106</t>
  </si>
  <si>
    <t>LLV-008</t>
  </si>
  <si>
    <t>David</t>
  </si>
  <si>
    <t>Davis</t>
  </si>
  <si>
    <t>(919) 555-0107</t>
  </si>
  <si>
    <t>LLV-009</t>
  </si>
  <si>
    <t>Hannah</t>
  </si>
  <si>
    <t>Dela Cruz</t>
  </si>
  <si>
    <t>hannah.delacruz@example.com</t>
  </si>
  <si>
    <t>(808) 555-0130</t>
  </si>
  <si>
    <t>LLV-010</t>
  </si>
  <si>
    <t>Lisa</t>
  </si>
  <si>
    <t>Flores</t>
  </si>
  <si>
    <t>(808) 555-0114</t>
  </si>
  <si>
    <t>Email invalid - check with client</t>
  </si>
  <si>
    <t>LLV-011</t>
  </si>
  <si>
    <t>Patricia</t>
  </si>
  <si>
    <t>Garcia</t>
  </si>
  <si>
    <t>patricia.garcia@example.com</t>
  </si>
  <si>
    <t>Milo</t>
  </si>
  <si>
    <t>LLV-012</t>
  </si>
  <si>
    <t>Ryan</t>
  </si>
  <si>
    <t>Harris</t>
  </si>
  <si>
    <t>(919) 555-0123</t>
  </si>
  <si>
    <t>LLV-013</t>
  </si>
  <si>
    <t>Brian</t>
  </si>
  <si>
    <t>Jackson</t>
  </si>
  <si>
    <t>brian.jackson@example.com</t>
  </si>
  <si>
    <t>(512) 555-0119</t>
  </si>
  <si>
    <t>LLV-014</t>
  </si>
  <si>
    <t>Robert</t>
  </si>
  <si>
    <t>Johnson</t>
  </si>
  <si>
    <t>robert.johnson@example.com</t>
  </si>
  <si>
    <t>(512) 555-0103</t>
  </si>
  <si>
    <t>LLV-015</t>
  </si>
  <si>
    <t>Tyler</t>
  </si>
  <si>
    <t>Lewis</t>
  </si>
  <si>
    <t>(702) 555-0129</t>
  </si>
  <si>
    <t>LLV-016</t>
  </si>
  <si>
    <t>Susan</t>
  </si>
  <si>
    <t>Lopez</t>
  </si>
  <si>
    <t>Nala</t>
  </si>
  <si>
    <t>LLV-017</t>
  </si>
  <si>
    <t>Eric</t>
  </si>
  <si>
    <t>Martin</t>
  </si>
  <si>
    <t>eric.martin@example.com</t>
  </si>
  <si>
    <t>(312) 555-0125</t>
  </si>
  <si>
    <t>LLV-018</t>
  </si>
  <si>
    <t>Angela</t>
  </si>
  <si>
    <t>Mendoza</t>
  </si>
  <si>
    <t>Duke</t>
  </si>
  <si>
    <t>LLV-019</t>
  </si>
  <si>
    <t>James</t>
  </si>
  <si>
    <t>Miller</t>
  </si>
  <si>
    <t>james.miller@example.com</t>
  </si>
  <si>
    <t>(312) 555-0101</t>
  </si>
  <si>
    <t>LLV-020</t>
  </si>
  <si>
    <t>Mark</t>
  </si>
  <si>
    <t>Moore</t>
  </si>
  <si>
    <t>(512) 555-0111</t>
  </si>
  <si>
    <t>LLV-021</t>
  </si>
  <si>
    <t>Emily</t>
  </si>
  <si>
    <t>Navarro</t>
  </si>
  <si>
    <t>emily.navarro@example.com</t>
  </si>
  <si>
    <t>Kitkat</t>
  </si>
  <si>
    <t>LLV-022</t>
  </si>
  <si>
    <t>Nancy</t>
  </si>
  <si>
    <t>Ramos</t>
  </si>
  <si>
    <t>nancy.ramos@example.com</t>
  </si>
  <si>
    <t>Thumper</t>
  </si>
  <si>
    <t>Rabbit</t>
  </si>
  <si>
    <t>LLV-023</t>
  </si>
  <si>
    <t>Linda</t>
  </si>
  <si>
    <t>Reyes</t>
  </si>
  <si>
    <t>(415) 555-0102</t>
  </si>
  <si>
    <t>LLV-024</t>
  </si>
  <si>
    <t>Grace</t>
  </si>
  <si>
    <t>Rivera</t>
  </si>
  <si>
    <t>(415) 555-0118</t>
  </si>
  <si>
    <t>LLV-025</t>
  </si>
  <si>
    <t>Maria</t>
  </si>
  <si>
    <t>Santos</t>
  </si>
  <si>
    <t>maria.santos@example.com</t>
  </si>
  <si>
    <t>Buddy</t>
  </si>
  <si>
    <t>LLV-026</t>
  </si>
  <si>
    <t>Paul</t>
  </si>
  <si>
    <t>Taylor</t>
  </si>
  <si>
    <t>paul.taylor@example.com</t>
  </si>
  <si>
    <t>(702) 555-0113</t>
  </si>
  <si>
    <t>LLV-027</t>
  </si>
  <si>
    <t>Kevin</t>
  </si>
  <si>
    <t>Thomas</t>
  </si>
  <si>
    <t>(312) 555-0117</t>
  </si>
  <si>
    <t>LLV-028</t>
  </si>
  <si>
    <t>Karen</t>
  </si>
  <si>
    <t>Torres</t>
  </si>
  <si>
    <t>karen.torres@example.com</t>
  </si>
  <si>
    <t>(415) 555-0110</t>
  </si>
  <si>
    <t>LLV-029</t>
  </si>
  <si>
    <t>Megan</t>
  </si>
  <si>
    <t>Villanueva</t>
  </si>
  <si>
    <t>megan.villanueva@example.com</t>
  </si>
  <si>
    <t>Teddy</t>
  </si>
  <si>
    <t>LLV-030</t>
  </si>
  <si>
    <t>Sean</t>
  </si>
  <si>
    <t>Walker</t>
  </si>
  <si>
    <t>sean.walker@example.com</t>
  </si>
  <si>
    <t>(919) 555-0131</t>
  </si>
  <si>
    <t>LLV-031</t>
  </si>
  <si>
    <t>Jason</t>
  </si>
  <si>
    <t>White</t>
  </si>
  <si>
    <t>jason.white@example.com</t>
  </si>
  <si>
    <t>Phone missing - ask client</t>
  </si>
  <si>
    <t>LLV-032</t>
  </si>
  <si>
    <t>Daniel</t>
  </si>
  <si>
    <t>Wilson</t>
  </si>
  <si>
    <t>daniel.wilson@example.com</t>
  </si>
  <si>
    <t>Summary</t>
  </si>
  <si>
    <t>Report Date</t>
  </si>
  <si>
    <t>Measure</t>
  </si>
  <si>
    <t>Value</t>
  </si>
  <si>
    <t>Group</t>
  </si>
  <si>
    <t>Total clients (after removing duplicates)</t>
  </si>
  <si>
    <t>Clients</t>
  </si>
  <si>
    <t>Dogs</t>
  </si>
  <si>
    <t>Cats</t>
  </si>
  <si>
    <t>Other pets</t>
  </si>
  <si>
    <t>Yearly check due now</t>
  </si>
  <si>
    <t>Reminders</t>
  </si>
  <si>
    <t>Due within 30 days</t>
  </si>
  <si>
    <t>Average days since last visit</t>
  </si>
  <si>
    <t>Clients missing a phone number</t>
  </si>
  <si>
    <t>Data quality</t>
  </si>
  <si>
    <t>Clients with an invalid email</t>
  </si>
  <si>
    <t>Duplicate rows removed</t>
  </si>
  <si>
    <t>Rows in the raw export</t>
  </si>
  <si>
    <t>Check: raw rows minus duplicates = clean rows</t>
  </si>
  <si>
    <t>Issue found in the raw export</t>
  </si>
  <si>
    <t>How it was fixed</t>
  </si>
  <si>
    <t>Rows affected</t>
  </si>
  <si>
    <t>Names in ALL CAPS, lowercase, extra spaces, or 'Last, First'</t>
  </si>
  <si>
    <t>Split into First / Last Name, proper case, spaces trimmed</t>
  </si>
  <si>
    <t>Emails in capitals or with spaces around them</t>
  </si>
  <si>
    <t>Trimmed and lowercased</t>
  </si>
  <si>
    <t>Phone numbers in 4 different formats</t>
  </si>
  <si>
    <t>One format: (555) 555-0100</t>
  </si>
  <si>
    <t>Pet type spelled several ways (dog, DOG, canine...)</t>
  </si>
  <si>
    <t>Standard list: Dog, Cat, Rabbit</t>
  </si>
  <si>
    <t>Dates in 4 different formats</t>
  </si>
  <si>
    <t>Real Excel dates, shown as 'Mmm d, yyyy'</t>
  </si>
  <si>
    <t>Same client entered twice</t>
  </si>
  <si>
    <t>Kept one row per email</t>
  </si>
  <si>
    <t>Missing phone / invalid email</t>
  </si>
  <si>
    <t>Kept, shaded orange, follow-up note added</t>
  </si>
  <si>
    <t>Row counts are from the cleanup run, not formulas.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</si>
</sst>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m\ d\,\ yyyy"/>
  </numFmts>
  <fonts count="10" x14ac:knownFonts="1">
    <font>
      <sz val="11"/>
      <color theme="1"/>
      <name val="Calibri"/>
      <family val="2"/>
      <scheme val="minor"/>
    </font>
    <font>
      <b/>
      <sz val="14"/>
      <color rgb="FF2F5D50"/>
      <name val="Arial"/>
    </font>
    <font>
      <sz val="11"/>
      <color rgb="FF000000"/>
      <name val="Arial"/>
    </font>
    <font>
      <b/>
      <sz val="11"/>
      <color rgb="FF2F5D50"/>
      <name val="Arial"/>
    </font>
    <font>
      <b/>
      <sz val="11"/>
      <color rgb="FFFFFFFF"/>
      <name val="Arial"/>
    </font>
    <font>
      <sz val="11"/>
      <name val="Arial"/>
    </font>
    <font>
      <b/>
      <sz val="11"/>
      <name val="Arial"/>
    </font>
    <font>
      <b/>
      <sz val="11"/>
      <color rgb="FF0000FF"/>
      <name val="Arial"/>
    </font>
    <font>
      <sz val="11"/>
      <color rgb="FF6B7C76"/>
      <name val="Arial"/>
    </font>
    <font>
      <i/>
      <sz val="11"/>
      <color rgb="FF6B7C76"/>
      <name val="Arial"/>
    </font>
  </fonts>
  <fills count="5">
    <fill>
      <patternFill patternType="none"/>
    </fill>
    <fill>
      <patternFill patternType="gray125"/>
    </fill>
    <fill>
      <patternFill patternType="solid">
        <fgColor rgb="FF2F5D50"/>
      </patternFill>
    </fill>
    <fill>
      <patternFill patternType="solid">
        <fgColor rgb="FFFFFF00"/>
      </patternFill>
    </fill>
    <fill>
      <patternFill patternType="solid">
        <fgColor rgb="FFFCE4D6"/>
      </patternFill>
    </fill>
  </fills>
  <borders count="2">
    <border>
      <left/>
      <right/>
      <top/>
      <bottom/>
      <diagonal/>
    </border>
    <border>
      <left style="thin">
        <color rgb="FFD0D7D4"/>
      </left>
      <right style="thin">
        <color rgb="FFD0D7D4"/>
      </right>
      <top style="thin">
        <color rgb="FFD0D7D4"/>
      </top>
      <bottom style="thin">
        <color rgb="FFD0D7D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vertical="center" wrapText="1"/>
    </xf>
    <xf numFmtId="0" fontId="5" fillId="0" borderId="1" xfId="0" applyFont="1" applyBorder="1"/>
    <xf numFmtId="165" fontId="5" fillId="0" borderId="1" xfId="0" applyNumberFormat="1" applyFont="1" applyBorder="1"/>
    <xf numFmtId="1" fontId="5" fillId="0" borderId="1" xfId="0" applyNumberFormat="1" applyFont="1" applyBorder="1"/>
    <xf numFmtId="0" fontId="5" fillId="4" borderId="1" xfId="0" applyFont="1" applyFill="1" applyBorder="1"/>
    <xf numFmtId="165" fontId="5" fillId="4" borderId="1" xfId="0" applyNumberFormat="1" applyFont="1" applyFill="1" applyBorder="1"/>
    <xf numFmtId="1" fontId="5" fillId="4" borderId="1" xfId="0" applyNumberFormat="1" applyFont="1" applyFill="1" applyBorder="1"/>
    <xf numFmtId="0" fontId="6" fillId="0" borderId="0" xfId="0" applyFont="1"/>
    <xf numFmtId="165" fontId="7" fillId="3" borderId="0" xfId="0" applyNumberFormat="1" applyFont="1" applyFill="1"/>
    <xf numFmtId="0" fontId="8" fillId="0" borderId="1" xfId="0" applyFont="1" applyBorder="1"/>
    <xf numFmtId="0" fontId="7" fillId="0" borderId="1" xfId="0" applyFont="1" applyBorder="1"/>
    <xf numFmtId="0" fontId="5" fillId="0" borderId="1" xfId="0" applyFont="1" applyBorder="1" applyAlignment="1">
      <alignment vertical="top" wrapText="1"/>
    </xf>
    <xf numFmtId="0" fontId="9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5"/>
  <sheetViews>
    <sheetView tabSelected="1" workbookViewId="0"/>
  </sheetViews>
  <sheetFormatPr defaultRowHeight="15" x14ac:dyDescent="0.25"/>
  <cols>
    <col min="1" max="1" width="95" customWidth="1"/>
  </cols>
  <sheetData>
    <row r="1" spans="1:1" ht="18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2"/>
    </row>
    <row r="4" spans="1:1" x14ac:dyDescent="0.25">
      <c r="A4" s="3" t="s">
        <v>2</v>
      </c>
    </row>
    <row r="5" spans="1:1" x14ac:dyDescent="0.25">
      <c r="A5" s="2" t="s">
        <v>3</v>
      </c>
    </row>
    <row r="6" spans="1:1" x14ac:dyDescent="0.25">
      <c r="A6" s="2" t="s">
        <v>4</v>
      </c>
    </row>
    <row r="7" spans="1:1" x14ac:dyDescent="0.25">
      <c r="A7" s="2" t="s">
        <v>5</v>
      </c>
    </row>
    <row r="8" spans="1:1" x14ac:dyDescent="0.25">
      <c r="A8" s="2"/>
    </row>
    <row r="9" spans="1:1" x14ac:dyDescent="0.25">
      <c r="A9" s="3" t="s">
        <v>6</v>
      </c>
    </row>
    <row r="10" spans="1:1" x14ac:dyDescent="0.25">
      <c r="A10" s="2" t="s">
        <v>7</v>
      </c>
    </row>
    <row r="11" spans="1:1" x14ac:dyDescent="0.25">
      <c r="A11" s="2" t="s">
        <v>8</v>
      </c>
    </row>
    <row r="12" spans="1:1" x14ac:dyDescent="0.25">
      <c r="A12" s="2" t="s">
        <v>9</v>
      </c>
    </row>
    <row r="13" spans="1:1" x14ac:dyDescent="0.25">
      <c r="A13" s="2"/>
    </row>
    <row r="14" spans="1:1" x14ac:dyDescent="0.25">
      <c r="A14" s="3" t="s">
        <v>10</v>
      </c>
    </row>
    <row r="15" spans="1:1" x14ac:dyDescent="0.25">
      <c r="A15" s="2" t="s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6" customWidth="1"/>
    <col min="2" max="2" width="34" customWidth="1"/>
    <col min="3" max="3" width="20" customWidth="1"/>
    <col min="4" max="5" width="12" customWidth="1"/>
    <col min="6" max="6" width="20" customWidth="1"/>
  </cols>
  <sheetData>
    <row r="1" spans="1:6" x14ac:dyDescent="0.25">
      <c r="A1" s="4" t="s">
        <v>12</v>
      </c>
      <c r="B1" s="4" t="s">
        <v>13</v>
      </c>
      <c r="C1" s="4" t="s">
        <v>14</v>
      </c>
      <c r="D1" s="4" t="s">
        <v>15</v>
      </c>
      <c r="E1" s="4" t="s">
        <v>16</v>
      </c>
      <c r="F1" s="4" t="s">
        <v>17</v>
      </c>
    </row>
    <row r="2" spans="1:6" x14ac:dyDescent="0.25">
      <c r="A2" s="5" t="s">
        <v>18</v>
      </c>
      <c r="B2" s="5" t="s">
        <v>19</v>
      </c>
      <c r="C2" s="5" t="s">
        <v>20</v>
      </c>
      <c r="D2" s="5" t="s">
        <v>21</v>
      </c>
      <c r="E2" s="5" t="s">
        <v>22</v>
      </c>
      <c r="F2" s="5" t="s">
        <v>23</v>
      </c>
    </row>
    <row r="3" spans="1:6" x14ac:dyDescent="0.25">
      <c r="A3" s="5" t="s">
        <v>24</v>
      </c>
      <c r="B3" s="5" t="s">
        <v>25</v>
      </c>
      <c r="C3" s="5" t="s">
        <v>26</v>
      </c>
      <c r="D3" s="5" t="s">
        <v>27</v>
      </c>
      <c r="E3" s="5" t="s">
        <v>28</v>
      </c>
      <c r="F3" s="5" t="s">
        <v>29</v>
      </c>
    </row>
    <row r="4" spans="1:6" x14ac:dyDescent="0.25">
      <c r="A4" s="5" t="s">
        <v>30</v>
      </c>
      <c r="B4" s="5" t="s">
        <v>31</v>
      </c>
      <c r="C4" s="5" t="s">
        <v>32</v>
      </c>
      <c r="D4" s="5" t="s">
        <v>33</v>
      </c>
      <c r="E4" s="5" t="s">
        <v>34</v>
      </c>
      <c r="F4" s="5" t="s">
        <v>35</v>
      </c>
    </row>
    <row r="5" spans="1:6" x14ac:dyDescent="0.25">
      <c r="A5" s="5" t="s">
        <v>36</v>
      </c>
      <c r="B5" s="5" t="s">
        <v>37</v>
      </c>
      <c r="C5" s="5" t="s">
        <v>38</v>
      </c>
      <c r="D5" s="5" t="s">
        <v>39</v>
      </c>
      <c r="E5" s="5" t="s">
        <v>40</v>
      </c>
      <c r="F5" s="5" t="s">
        <v>41</v>
      </c>
    </row>
    <row r="6" spans="1:6" x14ac:dyDescent="0.25">
      <c r="A6" s="5" t="s">
        <v>42</v>
      </c>
      <c r="B6" s="5" t="s">
        <v>43</v>
      </c>
      <c r="C6" s="5" t="s">
        <v>44</v>
      </c>
      <c r="D6" s="5" t="s">
        <v>45</v>
      </c>
      <c r="E6" s="5" t="s">
        <v>46</v>
      </c>
      <c r="F6" s="5" t="s">
        <v>47</v>
      </c>
    </row>
    <row r="7" spans="1:6" x14ac:dyDescent="0.25">
      <c r="A7" s="5" t="s">
        <v>48</v>
      </c>
      <c r="B7" s="5" t="s">
        <v>49</v>
      </c>
      <c r="C7" s="5" t="s">
        <v>50</v>
      </c>
      <c r="D7" s="5" t="s">
        <v>51</v>
      </c>
      <c r="E7" s="5" t="s">
        <v>40</v>
      </c>
      <c r="F7" s="5" t="s">
        <v>52</v>
      </c>
    </row>
    <row r="8" spans="1:6" x14ac:dyDescent="0.25">
      <c r="A8" s="5" t="s">
        <v>53</v>
      </c>
      <c r="B8" s="5" t="s">
        <v>54</v>
      </c>
      <c r="C8" s="5" t="s">
        <v>55</v>
      </c>
      <c r="D8" s="5" t="s">
        <v>56</v>
      </c>
      <c r="E8" s="5" t="s">
        <v>28</v>
      </c>
      <c r="F8" s="5" t="s">
        <v>57</v>
      </c>
    </row>
    <row r="9" spans="1:6" x14ac:dyDescent="0.25">
      <c r="A9" s="5" t="s">
        <v>58</v>
      </c>
      <c r="B9" s="5" t="s">
        <v>59</v>
      </c>
      <c r="C9" s="5" t="s">
        <v>60</v>
      </c>
      <c r="D9" s="5" t="s">
        <v>61</v>
      </c>
      <c r="E9" s="5" t="s">
        <v>62</v>
      </c>
      <c r="F9" s="5" t="s">
        <v>63</v>
      </c>
    </row>
    <row r="10" spans="1:6" x14ac:dyDescent="0.25">
      <c r="A10" s="5" t="s">
        <v>64</v>
      </c>
      <c r="B10" s="5" t="s">
        <v>65</v>
      </c>
      <c r="C10" s="5" t="s">
        <v>66</v>
      </c>
      <c r="D10" s="5" t="s">
        <v>67</v>
      </c>
      <c r="E10" s="5" t="s">
        <v>68</v>
      </c>
      <c r="F10" s="5" t="s">
        <v>69</v>
      </c>
    </row>
    <row r="11" spans="1:6" x14ac:dyDescent="0.25">
      <c r="A11" s="5" t="s">
        <v>70</v>
      </c>
      <c r="B11" s="5" t="s">
        <v>71</v>
      </c>
      <c r="C11" s="5"/>
      <c r="D11" s="5" t="s">
        <v>72</v>
      </c>
      <c r="E11" s="5" t="s">
        <v>34</v>
      </c>
      <c r="F11" s="5" t="s">
        <v>73</v>
      </c>
    </row>
    <row r="12" spans="1:6" x14ac:dyDescent="0.25">
      <c r="A12" s="5" t="s">
        <v>74</v>
      </c>
      <c r="B12" s="5" t="s">
        <v>75</v>
      </c>
      <c r="C12" s="5" t="s">
        <v>76</v>
      </c>
      <c r="D12" s="5" t="s">
        <v>77</v>
      </c>
      <c r="E12" s="5" t="s">
        <v>46</v>
      </c>
      <c r="F12" s="5" t="s">
        <v>78</v>
      </c>
    </row>
    <row r="13" spans="1:6" x14ac:dyDescent="0.25">
      <c r="A13" s="5" t="s">
        <v>79</v>
      </c>
      <c r="B13" s="5" t="s">
        <v>80</v>
      </c>
      <c r="C13" s="5" t="s">
        <v>81</v>
      </c>
      <c r="D13" s="5" t="s">
        <v>82</v>
      </c>
      <c r="E13" s="5" t="s">
        <v>22</v>
      </c>
      <c r="F13" s="5" t="s">
        <v>83</v>
      </c>
    </row>
    <row r="14" spans="1:6" x14ac:dyDescent="0.25">
      <c r="A14" s="5" t="s">
        <v>84</v>
      </c>
      <c r="B14" s="5" t="s">
        <v>85</v>
      </c>
      <c r="C14" s="5" t="s">
        <v>86</v>
      </c>
      <c r="D14" s="5" t="s">
        <v>87</v>
      </c>
      <c r="E14" s="5" t="s">
        <v>88</v>
      </c>
      <c r="F14" s="5" t="s">
        <v>89</v>
      </c>
    </row>
    <row r="15" spans="1:6" x14ac:dyDescent="0.25">
      <c r="A15" s="5" t="s">
        <v>90</v>
      </c>
      <c r="B15" s="5" t="s">
        <v>91</v>
      </c>
      <c r="C15" s="5" t="s">
        <v>92</v>
      </c>
      <c r="D15" s="5" t="s">
        <v>93</v>
      </c>
      <c r="E15" s="5" t="s">
        <v>22</v>
      </c>
      <c r="F15" s="5" t="s">
        <v>94</v>
      </c>
    </row>
    <row r="16" spans="1:6" x14ac:dyDescent="0.25">
      <c r="A16" s="5" t="s">
        <v>95</v>
      </c>
      <c r="B16" s="5" t="s">
        <v>96</v>
      </c>
      <c r="C16" s="5" t="s">
        <v>97</v>
      </c>
      <c r="D16" s="5" t="s">
        <v>98</v>
      </c>
      <c r="E16" s="5" t="s">
        <v>68</v>
      </c>
      <c r="F16" s="5" t="s">
        <v>99</v>
      </c>
    </row>
    <row r="17" spans="1:6" x14ac:dyDescent="0.25">
      <c r="A17" s="5" t="s">
        <v>100</v>
      </c>
      <c r="B17" s="5" t="s">
        <v>101</v>
      </c>
      <c r="C17" s="5" t="s">
        <v>102</v>
      </c>
      <c r="D17" s="5" t="s">
        <v>103</v>
      </c>
      <c r="E17" s="5" t="s">
        <v>22</v>
      </c>
      <c r="F17" s="5" t="s">
        <v>104</v>
      </c>
    </row>
    <row r="18" spans="1:6" x14ac:dyDescent="0.25">
      <c r="A18" s="5" t="s">
        <v>105</v>
      </c>
      <c r="B18" s="5" t="s">
        <v>106</v>
      </c>
      <c r="C18" s="5" t="s">
        <v>107</v>
      </c>
      <c r="D18" s="5" t="s">
        <v>108</v>
      </c>
      <c r="E18" s="5" t="s">
        <v>46</v>
      </c>
      <c r="F18" s="5" t="s">
        <v>109</v>
      </c>
    </row>
    <row r="19" spans="1:6" x14ac:dyDescent="0.25">
      <c r="A19" s="5" t="s">
        <v>110</v>
      </c>
      <c r="B19" s="5" t="s">
        <v>111</v>
      </c>
      <c r="C19" s="5" t="s">
        <v>112</v>
      </c>
      <c r="D19" s="5" t="s">
        <v>113</v>
      </c>
      <c r="E19" s="5" t="s">
        <v>40</v>
      </c>
      <c r="F19" s="5" t="s">
        <v>114</v>
      </c>
    </row>
    <row r="20" spans="1:6" x14ac:dyDescent="0.25">
      <c r="A20" s="5" t="s">
        <v>115</v>
      </c>
      <c r="B20" s="5" t="s">
        <v>116</v>
      </c>
      <c r="C20" s="5" t="s">
        <v>117</v>
      </c>
      <c r="D20" s="5" t="s">
        <v>118</v>
      </c>
      <c r="E20" s="5" t="s">
        <v>119</v>
      </c>
      <c r="F20" s="5" t="s">
        <v>120</v>
      </c>
    </row>
    <row r="21" spans="1:6" x14ac:dyDescent="0.25">
      <c r="A21" s="5" t="s">
        <v>121</v>
      </c>
      <c r="B21" s="5" t="s">
        <v>122</v>
      </c>
      <c r="C21" s="5" t="s">
        <v>123</v>
      </c>
      <c r="D21" s="5" t="s">
        <v>124</v>
      </c>
      <c r="E21" s="5" t="s">
        <v>28</v>
      </c>
      <c r="F21" s="5" t="s">
        <v>125</v>
      </c>
    </row>
    <row r="22" spans="1:6" x14ac:dyDescent="0.25">
      <c r="A22" s="5" t="s">
        <v>126</v>
      </c>
      <c r="B22" s="5" t="s">
        <v>31</v>
      </c>
      <c r="C22" s="5" t="s">
        <v>32</v>
      </c>
      <c r="D22" s="5" t="s">
        <v>33</v>
      </c>
      <c r="E22" s="5" t="s">
        <v>34</v>
      </c>
      <c r="F22" s="5" t="s">
        <v>35</v>
      </c>
    </row>
    <row r="23" spans="1:6" x14ac:dyDescent="0.25">
      <c r="A23" s="5" t="s">
        <v>127</v>
      </c>
      <c r="B23" s="5" t="s">
        <v>128</v>
      </c>
      <c r="C23" s="5" t="s">
        <v>129</v>
      </c>
      <c r="D23" s="5" t="s">
        <v>130</v>
      </c>
      <c r="E23" s="5" t="s">
        <v>62</v>
      </c>
      <c r="F23" s="5" t="s">
        <v>131</v>
      </c>
    </row>
    <row r="24" spans="1:6" x14ac:dyDescent="0.25">
      <c r="A24" s="5" t="s">
        <v>132</v>
      </c>
      <c r="B24" s="5" t="s">
        <v>133</v>
      </c>
      <c r="C24" s="5"/>
      <c r="D24" s="5" t="s">
        <v>134</v>
      </c>
      <c r="E24" s="5" t="s">
        <v>68</v>
      </c>
      <c r="F24" s="5" t="s">
        <v>135</v>
      </c>
    </row>
    <row r="25" spans="1:6" x14ac:dyDescent="0.25">
      <c r="A25" s="5" t="s">
        <v>136</v>
      </c>
      <c r="B25" s="5" t="s">
        <v>137</v>
      </c>
      <c r="C25" s="5" t="s">
        <v>138</v>
      </c>
      <c r="D25" s="5" t="s">
        <v>139</v>
      </c>
      <c r="E25" s="5" t="s">
        <v>40</v>
      </c>
      <c r="F25" s="5" t="s">
        <v>140</v>
      </c>
    </row>
    <row r="26" spans="1:6" x14ac:dyDescent="0.25">
      <c r="A26" s="5" t="s">
        <v>141</v>
      </c>
      <c r="B26" s="5" t="s">
        <v>142</v>
      </c>
      <c r="C26" s="5" t="s">
        <v>143</v>
      </c>
      <c r="D26" s="5" t="s">
        <v>144</v>
      </c>
      <c r="E26" s="5" t="s">
        <v>40</v>
      </c>
      <c r="F26" s="5" t="s">
        <v>145</v>
      </c>
    </row>
    <row r="27" spans="1:6" x14ac:dyDescent="0.25">
      <c r="A27" s="5" t="s">
        <v>146</v>
      </c>
      <c r="B27" s="5" t="s">
        <v>147</v>
      </c>
      <c r="C27" s="5" t="s">
        <v>148</v>
      </c>
      <c r="D27" s="5" t="s">
        <v>149</v>
      </c>
      <c r="E27" s="5" t="s">
        <v>28</v>
      </c>
      <c r="F27" s="5" t="s">
        <v>150</v>
      </c>
    </row>
    <row r="28" spans="1:6" x14ac:dyDescent="0.25">
      <c r="A28" s="5" t="s">
        <v>136</v>
      </c>
      <c r="B28" s="5" t="s">
        <v>151</v>
      </c>
      <c r="C28" s="5" t="s">
        <v>138</v>
      </c>
      <c r="D28" s="5" t="s">
        <v>139</v>
      </c>
      <c r="E28" s="5" t="s">
        <v>40</v>
      </c>
      <c r="F28" s="5" t="s">
        <v>140</v>
      </c>
    </row>
    <row r="29" spans="1:6" x14ac:dyDescent="0.25">
      <c r="A29" s="5" t="s">
        <v>152</v>
      </c>
      <c r="B29" s="5" t="s">
        <v>153</v>
      </c>
      <c r="C29" s="5" t="s">
        <v>154</v>
      </c>
      <c r="D29" s="5" t="s">
        <v>155</v>
      </c>
      <c r="E29" s="5" t="s">
        <v>28</v>
      </c>
      <c r="F29" s="5" t="s">
        <v>156</v>
      </c>
    </row>
    <row r="30" spans="1:6" x14ac:dyDescent="0.25">
      <c r="A30" s="5" t="s">
        <v>157</v>
      </c>
      <c r="B30" s="5" t="s">
        <v>158</v>
      </c>
      <c r="C30" s="5" t="s">
        <v>159</v>
      </c>
      <c r="D30" s="5" t="s">
        <v>160</v>
      </c>
      <c r="E30" s="5" t="s">
        <v>40</v>
      </c>
      <c r="F30" s="5" t="s">
        <v>161</v>
      </c>
    </row>
    <row r="31" spans="1:6" x14ac:dyDescent="0.25">
      <c r="A31" s="5" t="s">
        <v>162</v>
      </c>
      <c r="B31" s="5" t="s">
        <v>163</v>
      </c>
      <c r="C31" s="5" t="s">
        <v>164</v>
      </c>
      <c r="D31" s="5" t="s">
        <v>165</v>
      </c>
      <c r="E31" s="5" t="s">
        <v>28</v>
      </c>
      <c r="F31" s="5" t="s">
        <v>166</v>
      </c>
    </row>
    <row r="32" spans="1:6" x14ac:dyDescent="0.25">
      <c r="A32" s="5" t="s">
        <v>115</v>
      </c>
      <c r="B32" s="5" t="s">
        <v>167</v>
      </c>
      <c r="C32" s="5" t="s">
        <v>117</v>
      </c>
      <c r="D32" s="5" t="s">
        <v>118</v>
      </c>
      <c r="E32" s="5" t="s">
        <v>119</v>
      </c>
      <c r="F32" s="5" t="s">
        <v>120</v>
      </c>
    </row>
    <row r="33" spans="1:6" x14ac:dyDescent="0.25">
      <c r="A33" s="5" t="s">
        <v>168</v>
      </c>
      <c r="B33" s="5" t="s">
        <v>169</v>
      </c>
      <c r="C33" s="5" t="s">
        <v>60</v>
      </c>
      <c r="D33" s="5" t="s">
        <v>61</v>
      </c>
      <c r="E33" s="5" t="s">
        <v>62</v>
      </c>
      <c r="F33" s="5" t="s">
        <v>63</v>
      </c>
    </row>
    <row r="34" spans="1:6" x14ac:dyDescent="0.25">
      <c r="A34" s="5" t="s">
        <v>170</v>
      </c>
      <c r="B34" s="5" t="s">
        <v>171</v>
      </c>
      <c r="C34" s="5" t="s">
        <v>172</v>
      </c>
      <c r="D34" s="5" t="s">
        <v>173</v>
      </c>
      <c r="E34" s="5" t="s">
        <v>62</v>
      </c>
      <c r="F34" s="5" t="s">
        <v>174</v>
      </c>
    </row>
    <row r="35" spans="1:6" x14ac:dyDescent="0.25">
      <c r="A35" s="5" t="s">
        <v>175</v>
      </c>
      <c r="B35" s="5" t="s">
        <v>176</v>
      </c>
      <c r="C35" s="5" t="s">
        <v>177</v>
      </c>
      <c r="D35" s="5" t="s">
        <v>178</v>
      </c>
      <c r="E35" s="5" t="s">
        <v>179</v>
      </c>
      <c r="F35" s="5" t="s">
        <v>180</v>
      </c>
    </row>
    <row r="36" spans="1:6" x14ac:dyDescent="0.25">
      <c r="A36" s="5" t="s">
        <v>181</v>
      </c>
      <c r="B36" s="5" t="s">
        <v>182</v>
      </c>
      <c r="C36" s="5" t="s">
        <v>183</v>
      </c>
      <c r="D36" s="5" t="s">
        <v>184</v>
      </c>
      <c r="E36" s="5" t="s">
        <v>22</v>
      </c>
      <c r="F36" s="5" t="s">
        <v>78</v>
      </c>
    </row>
    <row r="37" spans="1:6" x14ac:dyDescent="0.25">
      <c r="A37" s="5" t="s">
        <v>185</v>
      </c>
      <c r="B37" s="5" t="s">
        <v>186</v>
      </c>
      <c r="C37" s="5" t="s">
        <v>187</v>
      </c>
      <c r="D37" s="5" t="s">
        <v>188</v>
      </c>
      <c r="E37" s="5" t="s">
        <v>179</v>
      </c>
      <c r="F37" s="5" t="s">
        <v>189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33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0" customWidth="1"/>
    <col min="2" max="2" width="12" customWidth="1"/>
    <col min="3" max="3" width="14" customWidth="1"/>
    <col min="4" max="4" width="34" customWidth="1"/>
    <col min="5" max="5" width="16" customWidth="1"/>
    <col min="6" max="6" width="11" customWidth="1"/>
    <col min="7" max="7" width="9" customWidth="1"/>
    <col min="8" max="8" width="14" customWidth="1"/>
    <col min="9" max="9" width="10" customWidth="1"/>
    <col min="10" max="10" width="20" customWidth="1"/>
    <col min="11" max="11" width="32" customWidth="1"/>
  </cols>
  <sheetData>
    <row r="1" spans="1:11" ht="45" x14ac:dyDescent="0.25">
      <c r="A1" s="4" t="s">
        <v>190</v>
      </c>
      <c r="B1" s="4" t="s">
        <v>191</v>
      </c>
      <c r="C1" s="4" t="s">
        <v>192</v>
      </c>
      <c r="D1" s="4" t="s">
        <v>13</v>
      </c>
      <c r="E1" s="4" t="s">
        <v>14</v>
      </c>
      <c r="F1" s="4" t="s">
        <v>15</v>
      </c>
      <c r="G1" s="4" t="s">
        <v>193</v>
      </c>
      <c r="H1" s="4" t="s">
        <v>17</v>
      </c>
      <c r="I1" s="4" t="s">
        <v>194</v>
      </c>
      <c r="J1" s="4" t="s">
        <v>195</v>
      </c>
      <c r="K1" s="4" t="s">
        <v>196</v>
      </c>
    </row>
    <row r="2" spans="1:11" x14ac:dyDescent="0.25">
      <c r="A2" s="5" t="s">
        <v>197</v>
      </c>
      <c r="B2" s="5" t="s">
        <v>198</v>
      </c>
      <c r="C2" s="5" t="s">
        <v>199</v>
      </c>
      <c r="D2" s="5" t="s">
        <v>200</v>
      </c>
      <c r="E2" s="5" t="s">
        <v>201</v>
      </c>
      <c r="F2" s="5" t="s">
        <v>103</v>
      </c>
      <c r="G2" s="5" t="s">
        <v>62</v>
      </c>
      <c r="H2" s="6">
        <v>46232</v>
      </c>
      <c r="I2" s="7">
        <f>Summary!$B$3-H2</f>
        <v>64</v>
      </c>
      <c r="J2" s="5" t="str">
        <f t="shared" ref="J2:J33" si="0">IF(I2&gt;=365,"Yearly check due",IF(I2&gt;=335,"Due within 30 days","OK"))</f>
        <v>OK</v>
      </c>
      <c r="K2" s="5"/>
    </row>
    <row r="3" spans="1:11" x14ac:dyDescent="0.25">
      <c r="A3" s="5" t="s">
        <v>202</v>
      </c>
      <c r="B3" s="5" t="s">
        <v>203</v>
      </c>
      <c r="C3" s="5" t="s">
        <v>204</v>
      </c>
      <c r="D3" s="5" t="s">
        <v>158</v>
      </c>
      <c r="E3" s="5" t="s">
        <v>205</v>
      </c>
      <c r="F3" s="5" t="s">
        <v>160</v>
      </c>
      <c r="G3" s="5" t="s">
        <v>62</v>
      </c>
      <c r="H3" s="6">
        <v>46213</v>
      </c>
      <c r="I3" s="7">
        <f>Summary!$B$3-H3</f>
        <v>83</v>
      </c>
      <c r="J3" s="5" t="str">
        <f t="shared" si="0"/>
        <v>OK</v>
      </c>
      <c r="K3" s="5"/>
    </row>
    <row r="4" spans="1:11" x14ac:dyDescent="0.25">
      <c r="A4" s="5" t="s">
        <v>206</v>
      </c>
      <c r="B4" s="5" t="s">
        <v>207</v>
      </c>
      <c r="C4" s="5" t="s">
        <v>208</v>
      </c>
      <c r="D4" s="5" t="s">
        <v>209</v>
      </c>
      <c r="E4" s="5" t="s">
        <v>210</v>
      </c>
      <c r="F4" s="5" t="s">
        <v>144</v>
      </c>
      <c r="G4" s="5" t="s">
        <v>62</v>
      </c>
      <c r="H4" s="6">
        <v>46059</v>
      </c>
      <c r="I4" s="7">
        <f>Summary!$B$3-H4</f>
        <v>237</v>
      </c>
      <c r="J4" s="5" t="str">
        <f t="shared" si="0"/>
        <v>OK</v>
      </c>
      <c r="K4" s="5"/>
    </row>
    <row r="5" spans="1:11" x14ac:dyDescent="0.25">
      <c r="A5" s="5" t="s">
        <v>211</v>
      </c>
      <c r="B5" s="5" t="s">
        <v>212</v>
      </c>
      <c r="C5" s="5" t="s">
        <v>213</v>
      </c>
      <c r="D5" s="5" t="s">
        <v>49</v>
      </c>
      <c r="E5" s="5" t="s">
        <v>214</v>
      </c>
      <c r="F5" s="5" t="s">
        <v>51</v>
      </c>
      <c r="G5" s="5" t="s">
        <v>62</v>
      </c>
      <c r="H5" s="6">
        <v>46239</v>
      </c>
      <c r="I5" s="7">
        <f>Summary!$B$3-H5</f>
        <v>57</v>
      </c>
      <c r="J5" s="5" t="str">
        <f t="shared" si="0"/>
        <v>OK</v>
      </c>
      <c r="K5" s="5"/>
    </row>
    <row r="6" spans="1:11" x14ac:dyDescent="0.25">
      <c r="A6" s="5" t="s">
        <v>215</v>
      </c>
      <c r="B6" s="5" t="s">
        <v>216</v>
      </c>
      <c r="C6" s="5" t="s">
        <v>217</v>
      </c>
      <c r="D6" s="5" t="s">
        <v>137</v>
      </c>
      <c r="E6" s="5" t="s">
        <v>138</v>
      </c>
      <c r="F6" s="5" t="s">
        <v>218</v>
      </c>
      <c r="G6" s="5" t="s">
        <v>62</v>
      </c>
      <c r="H6" s="6">
        <v>45853</v>
      </c>
      <c r="I6" s="7">
        <f>Summary!$B$3-H6</f>
        <v>443</v>
      </c>
      <c r="J6" s="5" t="str">
        <f t="shared" si="0"/>
        <v>Yearly check due</v>
      </c>
      <c r="K6" s="5"/>
    </row>
    <row r="7" spans="1:11" x14ac:dyDescent="0.25">
      <c r="A7" s="5" t="s">
        <v>219</v>
      </c>
      <c r="B7" s="5" t="s">
        <v>220</v>
      </c>
      <c r="C7" s="5" t="s">
        <v>221</v>
      </c>
      <c r="D7" s="5" t="s">
        <v>222</v>
      </c>
      <c r="E7" s="5" t="s">
        <v>223</v>
      </c>
      <c r="F7" s="5" t="s">
        <v>165</v>
      </c>
      <c r="G7" s="5" t="s">
        <v>46</v>
      </c>
      <c r="H7" s="6">
        <v>46162</v>
      </c>
      <c r="I7" s="7">
        <f>Summary!$B$3-H7</f>
        <v>134</v>
      </c>
      <c r="J7" s="5" t="str">
        <f t="shared" si="0"/>
        <v>OK</v>
      </c>
      <c r="K7" s="5"/>
    </row>
    <row r="8" spans="1:11" x14ac:dyDescent="0.25">
      <c r="A8" s="5" t="s">
        <v>224</v>
      </c>
      <c r="B8" s="5" t="s">
        <v>225</v>
      </c>
      <c r="C8" s="5" t="s">
        <v>226</v>
      </c>
      <c r="D8" s="5" t="s">
        <v>227</v>
      </c>
      <c r="E8" s="5" t="s">
        <v>228</v>
      </c>
      <c r="F8" s="5" t="s">
        <v>56</v>
      </c>
      <c r="G8" s="5" t="s">
        <v>46</v>
      </c>
      <c r="H8" s="6">
        <v>45856</v>
      </c>
      <c r="I8" s="7">
        <f>Summary!$B$3-H8</f>
        <v>440</v>
      </c>
      <c r="J8" s="5" t="str">
        <f t="shared" si="0"/>
        <v>Yearly check due</v>
      </c>
      <c r="K8" s="5"/>
    </row>
    <row r="9" spans="1:11" x14ac:dyDescent="0.25">
      <c r="A9" s="5" t="s">
        <v>229</v>
      </c>
      <c r="B9" s="5" t="s">
        <v>230</v>
      </c>
      <c r="C9" s="5" t="s">
        <v>231</v>
      </c>
      <c r="D9" s="5" t="s">
        <v>169</v>
      </c>
      <c r="E9" s="5" t="s">
        <v>232</v>
      </c>
      <c r="F9" s="5" t="s">
        <v>61</v>
      </c>
      <c r="G9" s="5" t="s">
        <v>62</v>
      </c>
      <c r="H9" s="6">
        <v>46002</v>
      </c>
      <c r="I9" s="7">
        <f>Summary!$B$3-H9</f>
        <v>294</v>
      </c>
      <c r="J9" s="5" t="str">
        <f t="shared" si="0"/>
        <v>OK</v>
      </c>
      <c r="K9" s="5"/>
    </row>
    <row r="10" spans="1:11" x14ac:dyDescent="0.25">
      <c r="A10" s="5" t="s">
        <v>233</v>
      </c>
      <c r="B10" s="5" t="s">
        <v>234</v>
      </c>
      <c r="C10" s="5" t="s">
        <v>235</v>
      </c>
      <c r="D10" s="5" t="s">
        <v>236</v>
      </c>
      <c r="E10" s="5" t="s">
        <v>237</v>
      </c>
      <c r="F10" s="5" t="s">
        <v>184</v>
      </c>
      <c r="G10" s="5" t="s">
        <v>62</v>
      </c>
      <c r="H10" s="6">
        <v>45978</v>
      </c>
      <c r="I10" s="7">
        <f>Summary!$B$3-H10</f>
        <v>318</v>
      </c>
      <c r="J10" s="5" t="str">
        <f t="shared" si="0"/>
        <v>OK</v>
      </c>
      <c r="K10" s="5"/>
    </row>
    <row r="11" spans="1:11" x14ac:dyDescent="0.25">
      <c r="A11" s="8" t="s">
        <v>238</v>
      </c>
      <c r="B11" s="8" t="s">
        <v>239</v>
      </c>
      <c r="C11" s="8" t="s">
        <v>240</v>
      </c>
      <c r="D11" s="8" t="s">
        <v>96</v>
      </c>
      <c r="E11" s="8" t="s">
        <v>241</v>
      </c>
      <c r="F11" s="8" t="s">
        <v>98</v>
      </c>
      <c r="G11" s="8" t="s">
        <v>46</v>
      </c>
      <c r="H11" s="9">
        <v>46257</v>
      </c>
      <c r="I11" s="10">
        <f>Summary!$B$3-H11</f>
        <v>39</v>
      </c>
      <c r="J11" s="8" t="str">
        <f t="shared" si="0"/>
        <v>OK</v>
      </c>
      <c r="K11" s="8" t="s">
        <v>242</v>
      </c>
    </row>
    <row r="12" spans="1:11" x14ac:dyDescent="0.25">
      <c r="A12" s="5" t="s">
        <v>243</v>
      </c>
      <c r="B12" s="5" t="s">
        <v>244</v>
      </c>
      <c r="C12" s="5" t="s">
        <v>245</v>
      </c>
      <c r="D12" s="5" t="s">
        <v>246</v>
      </c>
      <c r="E12" s="5" t="s">
        <v>44</v>
      </c>
      <c r="F12" s="5" t="s">
        <v>247</v>
      </c>
      <c r="G12" s="5" t="s">
        <v>46</v>
      </c>
      <c r="H12" s="6">
        <v>46252</v>
      </c>
      <c r="I12" s="7">
        <f>Summary!$B$3-H12</f>
        <v>44</v>
      </c>
      <c r="J12" s="5" t="str">
        <f t="shared" si="0"/>
        <v>OK</v>
      </c>
      <c r="K12" s="5"/>
    </row>
    <row r="13" spans="1:11" x14ac:dyDescent="0.25">
      <c r="A13" s="5" t="s">
        <v>248</v>
      </c>
      <c r="B13" s="5" t="s">
        <v>249</v>
      </c>
      <c r="C13" s="5" t="s">
        <v>250</v>
      </c>
      <c r="D13" s="5" t="s">
        <v>147</v>
      </c>
      <c r="E13" s="5" t="s">
        <v>251</v>
      </c>
      <c r="F13" s="5" t="s">
        <v>149</v>
      </c>
      <c r="G13" s="5" t="s">
        <v>46</v>
      </c>
      <c r="H13" s="6">
        <v>46246</v>
      </c>
      <c r="I13" s="7">
        <f>Summary!$B$3-H13</f>
        <v>50</v>
      </c>
      <c r="J13" s="5" t="str">
        <f t="shared" si="0"/>
        <v>OK</v>
      </c>
      <c r="K13" s="5"/>
    </row>
    <row r="14" spans="1:11" x14ac:dyDescent="0.25">
      <c r="A14" s="5" t="s">
        <v>252</v>
      </c>
      <c r="B14" s="5" t="s">
        <v>253</v>
      </c>
      <c r="C14" s="5" t="s">
        <v>254</v>
      </c>
      <c r="D14" s="5" t="s">
        <v>255</v>
      </c>
      <c r="E14" s="5" t="s">
        <v>256</v>
      </c>
      <c r="F14" s="5" t="s">
        <v>124</v>
      </c>
      <c r="G14" s="5" t="s">
        <v>46</v>
      </c>
      <c r="H14" s="6">
        <v>46153</v>
      </c>
      <c r="I14" s="7">
        <f>Summary!$B$3-H14</f>
        <v>143</v>
      </c>
      <c r="J14" s="5" t="str">
        <f t="shared" si="0"/>
        <v>OK</v>
      </c>
      <c r="K14" s="5"/>
    </row>
    <row r="15" spans="1:11" x14ac:dyDescent="0.25">
      <c r="A15" s="5" t="s">
        <v>257</v>
      </c>
      <c r="B15" s="5" t="s">
        <v>258</v>
      </c>
      <c r="C15" s="5" t="s">
        <v>259</v>
      </c>
      <c r="D15" s="5" t="s">
        <v>260</v>
      </c>
      <c r="E15" s="5" t="s">
        <v>261</v>
      </c>
      <c r="F15" s="5" t="s">
        <v>39</v>
      </c>
      <c r="G15" s="5" t="s">
        <v>62</v>
      </c>
      <c r="H15" s="6">
        <v>45943</v>
      </c>
      <c r="I15" s="7">
        <f>Summary!$B$3-H15</f>
        <v>353</v>
      </c>
      <c r="J15" s="5" t="str">
        <f t="shared" si="0"/>
        <v>Due within 30 days</v>
      </c>
      <c r="K15" s="5"/>
    </row>
    <row r="16" spans="1:11" x14ac:dyDescent="0.25">
      <c r="A16" s="5" t="s">
        <v>262</v>
      </c>
      <c r="B16" s="5" t="s">
        <v>263</v>
      </c>
      <c r="C16" s="5" t="s">
        <v>264</v>
      </c>
      <c r="D16" s="5" t="s">
        <v>176</v>
      </c>
      <c r="E16" s="5" t="s">
        <v>265</v>
      </c>
      <c r="F16" s="5" t="s">
        <v>178</v>
      </c>
      <c r="G16" s="5" t="s">
        <v>46</v>
      </c>
      <c r="H16" s="6">
        <v>45955</v>
      </c>
      <c r="I16" s="7">
        <f>Summary!$B$3-H16</f>
        <v>341</v>
      </c>
      <c r="J16" s="5" t="str">
        <f t="shared" si="0"/>
        <v>Due within 30 days</v>
      </c>
      <c r="K16" s="5"/>
    </row>
    <row r="17" spans="1:11" x14ac:dyDescent="0.25">
      <c r="A17" s="5" t="s">
        <v>266</v>
      </c>
      <c r="B17" s="5" t="s">
        <v>267</v>
      </c>
      <c r="C17" s="5" t="s">
        <v>268</v>
      </c>
      <c r="D17" s="5" t="s">
        <v>65</v>
      </c>
      <c r="E17" s="5" t="s">
        <v>66</v>
      </c>
      <c r="F17" s="5" t="s">
        <v>269</v>
      </c>
      <c r="G17" s="5" t="s">
        <v>46</v>
      </c>
      <c r="H17" s="6">
        <v>46228</v>
      </c>
      <c r="I17" s="7">
        <f>Summary!$B$3-H17</f>
        <v>68</v>
      </c>
      <c r="J17" s="5" t="str">
        <f t="shared" si="0"/>
        <v>OK</v>
      </c>
      <c r="K17" s="5"/>
    </row>
    <row r="18" spans="1:11" x14ac:dyDescent="0.25">
      <c r="A18" s="5" t="s">
        <v>270</v>
      </c>
      <c r="B18" s="5" t="s">
        <v>271</v>
      </c>
      <c r="C18" s="5" t="s">
        <v>272</v>
      </c>
      <c r="D18" s="5" t="s">
        <v>273</v>
      </c>
      <c r="E18" s="5" t="s">
        <v>274</v>
      </c>
      <c r="F18" s="5" t="s">
        <v>155</v>
      </c>
      <c r="G18" s="5" t="s">
        <v>46</v>
      </c>
      <c r="H18" s="6">
        <v>45987</v>
      </c>
      <c r="I18" s="7">
        <f>Summary!$B$3-H18</f>
        <v>309</v>
      </c>
      <c r="J18" s="5" t="str">
        <f t="shared" si="0"/>
        <v>OK</v>
      </c>
      <c r="K18" s="5"/>
    </row>
    <row r="19" spans="1:11" x14ac:dyDescent="0.25">
      <c r="A19" s="5" t="s">
        <v>275</v>
      </c>
      <c r="B19" s="5" t="s">
        <v>276</v>
      </c>
      <c r="C19" s="5" t="s">
        <v>277</v>
      </c>
      <c r="D19" s="5" t="s">
        <v>128</v>
      </c>
      <c r="E19" s="5" t="s">
        <v>129</v>
      </c>
      <c r="F19" s="5" t="s">
        <v>278</v>
      </c>
      <c r="G19" s="5" t="s">
        <v>62</v>
      </c>
      <c r="H19" s="6">
        <v>46230</v>
      </c>
      <c r="I19" s="7">
        <f>Summary!$B$3-H19</f>
        <v>66</v>
      </c>
      <c r="J19" s="5" t="str">
        <f t="shared" si="0"/>
        <v>OK</v>
      </c>
      <c r="K19" s="5"/>
    </row>
    <row r="20" spans="1:11" x14ac:dyDescent="0.25">
      <c r="A20" s="5" t="s">
        <v>279</v>
      </c>
      <c r="B20" s="5" t="s">
        <v>280</v>
      </c>
      <c r="C20" s="5" t="s">
        <v>281</v>
      </c>
      <c r="D20" s="5" t="s">
        <v>282</v>
      </c>
      <c r="E20" s="5" t="s">
        <v>283</v>
      </c>
      <c r="F20" s="5" t="s">
        <v>27</v>
      </c>
      <c r="G20" s="5" t="s">
        <v>46</v>
      </c>
      <c r="H20" s="6">
        <v>46199</v>
      </c>
      <c r="I20" s="7">
        <f>Summary!$B$3-H20</f>
        <v>97</v>
      </c>
      <c r="J20" s="5" t="str">
        <f t="shared" si="0"/>
        <v>OK</v>
      </c>
      <c r="K20" s="5"/>
    </row>
    <row r="21" spans="1:11" x14ac:dyDescent="0.25">
      <c r="A21" s="5" t="s">
        <v>284</v>
      </c>
      <c r="B21" s="5" t="s">
        <v>285</v>
      </c>
      <c r="C21" s="5" t="s">
        <v>286</v>
      </c>
      <c r="D21" s="5" t="s">
        <v>80</v>
      </c>
      <c r="E21" s="5" t="s">
        <v>287</v>
      </c>
      <c r="F21" s="5" t="s">
        <v>82</v>
      </c>
      <c r="G21" s="5" t="s">
        <v>62</v>
      </c>
      <c r="H21" s="6">
        <v>46247</v>
      </c>
      <c r="I21" s="7">
        <f>Summary!$B$3-H21</f>
        <v>49</v>
      </c>
      <c r="J21" s="5" t="str">
        <f t="shared" si="0"/>
        <v>OK</v>
      </c>
      <c r="K21" s="5"/>
    </row>
    <row r="22" spans="1:11" x14ac:dyDescent="0.25">
      <c r="A22" s="5" t="s">
        <v>288</v>
      </c>
      <c r="B22" s="5" t="s">
        <v>289</v>
      </c>
      <c r="C22" s="5" t="s">
        <v>290</v>
      </c>
      <c r="D22" s="5" t="s">
        <v>291</v>
      </c>
      <c r="E22" s="5" t="s">
        <v>107</v>
      </c>
      <c r="F22" s="5" t="s">
        <v>292</v>
      </c>
      <c r="G22" s="5" t="s">
        <v>46</v>
      </c>
      <c r="H22" s="6">
        <v>46054</v>
      </c>
      <c r="I22" s="7">
        <f>Summary!$B$3-H22</f>
        <v>242</v>
      </c>
      <c r="J22" s="5" t="str">
        <f t="shared" si="0"/>
        <v>OK</v>
      </c>
      <c r="K22" s="5"/>
    </row>
    <row r="23" spans="1:11" x14ac:dyDescent="0.25">
      <c r="A23" s="5" t="s">
        <v>293</v>
      </c>
      <c r="B23" s="5" t="s">
        <v>294</v>
      </c>
      <c r="C23" s="5" t="s">
        <v>295</v>
      </c>
      <c r="D23" s="5" t="s">
        <v>296</v>
      </c>
      <c r="E23" s="5" t="s">
        <v>86</v>
      </c>
      <c r="F23" s="5" t="s">
        <v>297</v>
      </c>
      <c r="G23" s="5" t="s">
        <v>298</v>
      </c>
      <c r="H23" s="6">
        <v>46017</v>
      </c>
      <c r="I23" s="7">
        <f>Summary!$B$3-H23</f>
        <v>279</v>
      </c>
      <c r="J23" s="5" t="str">
        <f t="shared" si="0"/>
        <v>OK</v>
      </c>
      <c r="K23" s="5"/>
    </row>
    <row r="24" spans="1:11" x14ac:dyDescent="0.25">
      <c r="A24" s="5" t="s">
        <v>299</v>
      </c>
      <c r="B24" s="5" t="s">
        <v>300</v>
      </c>
      <c r="C24" s="5" t="s">
        <v>301</v>
      </c>
      <c r="D24" s="5" t="s">
        <v>31</v>
      </c>
      <c r="E24" s="5" t="s">
        <v>302</v>
      </c>
      <c r="F24" s="5" t="s">
        <v>33</v>
      </c>
      <c r="G24" s="5" t="s">
        <v>62</v>
      </c>
      <c r="H24" s="6">
        <v>46074</v>
      </c>
      <c r="I24" s="7">
        <f>Summary!$B$3-H24</f>
        <v>222</v>
      </c>
      <c r="J24" s="5" t="str">
        <f t="shared" si="0"/>
        <v>OK</v>
      </c>
      <c r="K24" s="5"/>
    </row>
    <row r="25" spans="1:11" x14ac:dyDescent="0.25">
      <c r="A25" s="5" t="s">
        <v>303</v>
      </c>
      <c r="B25" s="5" t="s">
        <v>304</v>
      </c>
      <c r="C25" s="5" t="s">
        <v>305</v>
      </c>
      <c r="D25" s="5" t="s">
        <v>167</v>
      </c>
      <c r="E25" s="5" t="s">
        <v>306</v>
      </c>
      <c r="F25" s="5" t="s">
        <v>118</v>
      </c>
      <c r="G25" s="5" t="s">
        <v>298</v>
      </c>
      <c r="H25" s="6">
        <v>46241</v>
      </c>
      <c r="I25" s="7">
        <f>Summary!$B$3-H25</f>
        <v>55</v>
      </c>
      <c r="J25" s="5" t="str">
        <f t="shared" si="0"/>
        <v>OK</v>
      </c>
      <c r="K25" s="5"/>
    </row>
    <row r="26" spans="1:11" x14ac:dyDescent="0.25">
      <c r="A26" s="5" t="s">
        <v>307</v>
      </c>
      <c r="B26" s="5" t="s">
        <v>308</v>
      </c>
      <c r="C26" s="5" t="s">
        <v>309</v>
      </c>
      <c r="D26" s="5" t="s">
        <v>310</v>
      </c>
      <c r="E26" s="5" t="s">
        <v>20</v>
      </c>
      <c r="F26" s="5" t="s">
        <v>311</v>
      </c>
      <c r="G26" s="5" t="s">
        <v>62</v>
      </c>
      <c r="H26" s="6">
        <v>46111</v>
      </c>
      <c r="I26" s="7">
        <f>Summary!$B$3-H26</f>
        <v>185</v>
      </c>
      <c r="J26" s="5" t="str">
        <f t="shared" si="0"/>
        <v>OK</v>
      </c>
      <c r="K26" s="5"/>
    </row>
    <row r="27" spans="1:11" x14ac:dyDescent="0.25">
      <c r="A27" s="5" t="s">
        <v>312</v>
      </c>
      <c r="B27" s="5" t="s">
        <v>313</v>
      </c>
      <c r="C27" s="5" t="s">
        <v>314</v>
      </c>
      <c r="D27" s="5" t="s">
        <v>315</v>
      </c>
      <c r="E27" s="5" t="s">
        <v>316</v>
      </c>
      <c r="F27" s="5" t="s">
        <v>93</v>
      </c>
      <c r="G27" s="5" t="s">
        <v>62</v>
      </c>
      <c r="H27" s="6">
        <v>46167</v>
      </c>
      <c r="I27" s="7">
        <f>Summary!$B$3-H27</f>
        <v>129</v>
      </c>
      <c r="J27" s="5" t="str">
        <f t="shared" si="0"/>
        <v>OK</v>
      </c>
      <c r="K27" s="5"/>
    </row>
    <row r="28" spans="1:11" x14ac:dyDescent="0.25">
      <c r="A28" s="5" t="s">
        <v>317</v>
      </c>
      <c r="B28" s="5" t="s">
        <v>318</v>
      </c>
      <c r="C28" s="5" t="s">
        <v>319</v>
      </c>
      <c r="D28" s="5" t="s">
        <v>111</v>
      </c>
      <c r="E28" s="5" t="s">
        <v>320</v>
      </c>
      <c r="F28" s="5" t="s">
        <v>113</v>
      </c>
      <c r="G28" s="5" t="s">
        <v>62</v>
      </c>
      <c r="H28" s="6">
        <v>46062</v>
      </c>
      <c r="I28" s="7">
        <f>Summary!$B$3-H28</f>
        <v>234</v>
      </c>
      <c r="J28" s="5" t="str">
        <f t="shared" si="0"/>
        <v>OK</v>
      </c>
      <c r="K28" s="5"/>
    </row>
    <row r="29" spans="1:11" x14ac:dyDescent="0.25">
      <c r="A29" s="5" t="s">
        <v>321</v>
      </c>
      <c r="B29" s="5" t="s">
        <v>322</v>
      </c>
      <c r="C29" s="5" t="s">
        <v>323</v>
      </c>
      <c r="D29" s="5" t="s">
        <v>324</v>
      </c>
      <c r="E29" s="5" t="s">
        <v>325</v>
      </c>
      <c r="F29" s="5" t="s">
        <v>77</v>
      </c>
      <c r="G29" s="5" t="s">
        <v>46</v>
      </c>
      <c r="H29" s="6">
        <v>45978</v>
      </c>
      <c r="I29" s="7">
        <f>Summary!$B$3-H29</f>
        <v>318</v>
      </c>
      <c r="J29" s="5" t="str">
        <f t="shared" si="0"/>
        <v>OK</v>
      </c>
      <c r="K29" s="5"/>
    </row>
    <row r="30" spans="1:11" x14ac:dyDescent="0.25">
      <c r="A30" s="5" t="s">
        <v>326</v>
      </c>
      <c r="B30" s="5" t="s">
        <v>327</v>
      </c>
      <c r="C30" s="5" t="s">
        <v>328</v>
      </c>
      <c r="D30" s="5" t="s">
        <v>329</v>
      </c>
      <c r="E30" s="5" t="s">
        <v>172</v>
      </c>
      <c r="F30" s="5" t="s">
        <v>330</v>
      </c>
      <c r="G30" s="5" t="s">
        <v>62</v>
      </c>
      <c r="H30" s="6">
        <v>45954</v>
      </c>
      <c r="I30" s="7">
        <f>Summary!$B$3-H30</f>
        <v>342</v>
      </c>
      <c r="J30" s="5" t="str">
        <f t="shared" si="0"/>
        <v>Due within 30 days</v>
      </c>
      <c r="K30" s="5"/>
    </row>
    <row r="31" spans="1:11" x14ac:dyDescent="0.25">
      <c r="A31" s="5" t="s">
        <v>331</v>
      </c>
      <c r="B31" s="5" t="s">
        <v>332</v>
      </c>
      <c r="C31" s="5" t="s">
        <v>333</v>
      </c>
      <c r="D31" s="5" t="s">
        <v>334</v>
      </c>
      <c r="E31" s="5" t="s">
        <v>335</v>
      </c>
      <c r="F31" s="5" t="s">
        <v>188</v>
      </c>
      <c r="G31" s="5" t="s">
        <v>46</v>
      </c>
      <c r="H31" s="6">
        <v>46245</v>
      </c>
      <c r="I31" s="7">
        <f>Summary!$B$3-H31</f>
        <v>51</v>
      </c>
      <c r="J31" s="5" t="str">
        <f t="shared" si="0"/>
        <v>OK</v>
      </c>
      <c r="K31" s="5"/>
    </row>
    <row r="32" spans="1:11" x14ac:dyDescent="0.25">
      <c r="A32" s="8" t="s">
        <v>336</v>
      </c>
      <c r="B32" s="8" t="s">
        <v>337</v>
      </c>
      <c r="C32" s="8" t="s">
        <v>338</v>
      </c>
      <c r="D32" s="8" t="s">
        <v>339</v>
      </c>
      <c r="E32" s="8"/>
      <c r="F32" s="8" t="s">
        <v>134</v>
      </c>
      <c r="G32" s="8" t="s">
        <v>46</v>
      </c>
      <c r="H32" s="9">
        <v>45994</v>
      </c>
      <c r="I32" s="10">
        <f>Summary!$B$3-H32</f>
        <v>302</v>
      </c>
      <c r="J32" s="8" t="str">
        <f t="shared" si="0"/>
        <v>OK</v>
      </c>
      <c r="K32" s="8" t="s">
        <v>340</v>
      </c>
    </row>
    <row r="33" spans="1:11" x14ac:dyDescent="0.25">
      <c r="A33" s="8" t="s">
        <v>341</v>
      </c>
      <c r="B33" s="8" t="s">
        <v>342</v>
      </c>
      <c r="C33" s="8" t="s">
        <v>343</v>
      </c>
      <c r="D33" s="8" t="s">
        <v>344</v>
      </c>
      <c r="E33" s="8"/>
      <c r="F33" s="8" t="s">
        <v>72</v>
      </c>
      <c r="G33" s="8" t="s">
        <v>62</v>
      </c>
      <c r="H33" s="9">
        <v>46089</v>
      </c>
      <c r="I33" s="10">
        <f>Summary!$B$3-H33</f>
        <v>207</v>
      </c>
      <c r="J33" s="8" t="str">
        <f t="shared" si="0"/>
        <v>OK</v>
      </c>
      <c r="K33" s="8" t="s">
        <v>340</v>
      </c>
    </row>
  </sheetData>
  <autoFilter ref="A1:K33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7"/>
  <sheetViews>
    <sheetView workbookViewId="0"/>
  </sheetViews>
  <sheetFormatPr defaultRowHeight="15" x14ac:dyDescent="0.25"/>
  <cols>
    <col min="1" max="1" width="46" customWidth="1"/>
    <col min="2" max="3" width="14" customWidth="1"/>
  </cols>
  <sheetData>
    <row r="1" spans="1:3" ht="18" x14ac:dyDescent="0.25">
      <c r="A1" s="1" t="s">
        <v>345</v>
      </c>
    </row>
    <row r="3" spans="1:3" x14ac:dyDescent="0.25">
      <c r="A3" s="11" t="s">
        <v>346</v>
      </c>
      <c r="B3" s="12">
        <v>46296</v>
      </c>
    </row>
    <row r="5" spans="1:3" x14ac:dyDescent="0.25">
      <c r="A5" s="4" t="s">
        <v>347</v>
      </c>
      <c r="B5" s="4" t="s">
        <v>348</v>
      </c>
      <c r="C5" s="4" t="s">
        <v>349</v>
      </c>
    </row>
    <row r="6" spans="1:3" x14ac:dyDescent="0.25">
      <c r="A6" s="5" t="s">
        <v>350</v>
      </c>
      <c r="B6" s="5">
        <f>COUNTA('Clean List'!$A$2:$A$33)</f>
        <v>32</v>
      </c>
      <c r="C6" s="13" t="s">
        <v>351</v>
      </c>
    </row>
    <row r="7" spans="1:3" x14ac:dyDescent="0.25">
      <c r="A7" s="5" t="s">
        <v>352</v>
      </c>
      <c r="B7" s="5">
        <f>COUNTIF('Clean List'!$G$2:$G$33,"Dog")</f>
        <v>16</v>
      </c>
      <c r="C7" s="13" t="s">
        <v>351</v>
      </c>
    </row>
    <row r="8" spans="1:3" x14ac:dyDescent="0.25">
      <c r="A8" s="5" t="s">
        <v>353</v>
      </c>
      <c r="B8" s="5">
        <f>COUNTIF('Clean List'!$G$2:$G$33,"Cat")</f>
        <v>14</v>
      </c>
      <c r="C8" s="13" t="s">
        <v>351</v>
      </c>
    </row>
    <row r="9" spans="1:3" x14ac:dyDescent="0.25">
      <c r="A9" s="5" t="s">
        <v>354</v>
      </c>
      <c r="B9" s="5">
        <f>B6-B7-B8</f>
        <v>2</v>
      </c>
      <c r="C9" s="13" t="s">
        <v>351</v>
      </c>
    </row>
    <row r="10" spans="1:3" x14ac:dyDescent="0.25">
      <c r="A10" s="5" t="s">
        <v>355</v>
      </c>
      <c r="B10" s="5">
        <f>COUNTIF('Clean List'!$J$2:$J$33,"Yearly check due")</f>
        <v>2</v>
      </c>
      <c r="C10" s="13" t="s">
        <v>356</v>
      </c>
    </row>
    <row r="11" spans="1:3" x14ac:dyDescent="0.25">
      <c r="A11" s="5" t="s">
        <v>357</v>
      </c>
      <c r="B11" s="5">
        <f>COUNTIF('Clean List'!$J$2:$J$33,"Due within 30 days")</f>
        <v>3</v>
      </c>
      <c r="C11" s="13" t="s">
        <v>356</v>
      </c>
    </row>
    <row r="12" spans="1:3" x14ac:dyDescent="0.25">
      <c r="A12" s="5" t="s">
        <v>358</v>
      </c>
      <c r="B12" s="5">
        <f>ROUND(AVERAGE('Clean List'!$I$2:$I$33),0)</f>
        <v>194</v>
      </c>
      <c r="C12" s="13" t="s">
        <v>356</v>
      </c>
    </row>
    <row r="13" spans="1:3" x14ac:dyDescent="0.25">
      <c r="A13" s="5" t="s">
        <v>359</v>
      </c>
      <c r="B13" s="5">
        <f>COUNTIF('Clean List'!$K$2:$K$33,"*Phone missing*")</f>
        <v>2</v>
      </c>
      <c r="C13" s="13" t="s">
        <v>360</v>
      </c>
    </row>
    <row r="14" spans="1:3" x14ac:dyDescent="0.25">
      <c r="A14" s="5" t="s">
        <v>361</v>
      </c>
      <c r="B14" s="5">
        <f>COUNTIF('Clean List'!$K$2:$K$33,"*Email invalid*")</f>
        <v>1</v>
      </c>
      <c r="C14" s="13" t="s">
        <v>360</v>
      </c>
    </row>
    <row r="15" spans="1:3" x14ac:dyDescent="0.25">
      <c r="A15" s="5" t="s">
        <v>362</v>
      </c>
      <c r="B15" s="14">
        <v>4</v>
      </c>
      <c r="C15" s="13" t="s">
        <v>360</v>
      </c>
    </row>
    <row r="16" spans="1:3" x14ac:dyDescent="0.25">
      <c r="A16" s="5" t="s">
        <v>363</v>
      </c>
      <c r="B16" s="5">
        <f>COUNTA('Raw Data'!$A$2:$A$37)</f>
        <v>36</v>
      </c>
      <c r="C16" s="13" t="s">
        <v>360</v>
      </c>
    </row>
    <row r="17" spans="1:3" x14ac:dyDescent="0.25">
      <c r="A17" s="5" t="s">
        <v>364</v>
      </c>
      <c r="B17" s="5" t="str">
        <f>IF(B16-B15=B6,"OK","Mismatch")</f>
        <v>OK</v>
      </c>
      <c r="C17" s="13" t="s">
        <v>360</v>
      </c>
    </row>
  </sheetData>
  <pageMargins left="0.75" right="0.75" top="1" bottom="1" header="0.5" footer="0.5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0"/>
  <sheetViews>
    <sheetView workbookViewId="0"/>
  </sheetViews>
  <sheetFormatPr defaultRowHeight="15" x14ac:dyDescent="0.25"/>
  <cols>
    <col min="1" max="1" width="48" customWidth="1"/>
    <col min="2" max="2" width="44" customWidth="1"/>
    <col min="3" max="3" width="14" customWidth="1"/>
  </cols>
  <sheetData>
    <row r="1" spans="1:3" ht="30" x14ac:dyDescent="0.25">
      <c r="A1" s="4" t="s">
        <v>365</v>
      </c>
      <c r="B1" s="4" t="s">
        <v>366</v>
      </c>
      <c r="C1" s="4" t="s">
        <v>367</v>
      </c>
    </row>
    <row r="2" spans="1:3" ht="28.5" x14ac:dyDescent="0.25">
      <c r="A2" s="15" t="s">
        <v>368</v>
      </c>
      <c r="B2" s="15" t="s">
        <v>369</v>
      </c>
      <c r="C2" s="15">
        <v>26</v>
      </c>
    </row>
    <row r="3" spans="1:3" x14ac:dyDescent="0.25">
      <c r="A3" s="15" t="s">
        <v>370</v>
      </c>
      <c r="B3" s="15" t="s">
        <v>371</v>
      </c>
      <c r="C3" s="15">
        <v>21</v>
      </c>
    </row>
    <row r="4" spans="1:3" x14ac:dyDescent="0.25">
      <c r="A4" s="15" t="s">
        <v>372</v>
      </c>
      <c r="B4" s="15" t="s">
        <v>373</v>
      </c>
      <c r="C4" s="15">
        <v>22</v>
      </c>
    </row>
    <row r="5" spans="1:3" ht="28.5" x14ac:dyDescent="0.25">
      <c r="A5" s="15" t="s">
        <v>374</v>
      </c>
      <c r="B5" s="15" t="s">
        <v>375</v>
      </c>
      <c r="C5" s="15">
        <v>26</v>
      </c>
    </row>
    <row r="6" spans="1:3" x14ac:dyDescent="0.25">
      <c r="A6" s="15" t="s">
        <v>376</v>
      </c>
      <c r="B6" s="15" t="s">
        <v>377</v>
      </c>
      <c r="C6" s="15">
        <v>24</v>
      </c>
    </row>
    <row r="7" spans="1:3" x14ac:dyDescent="0.25">
      <c r="A7" s="15" t="s">
        <v>378</v>
      </c>
      <c r="B7" s="15" t="s">
        <v>379</v>
      </c>
      <c r="C7" s="15">
        <v>4</v>
      </c>
    </row>
    <row r="8" spans="1:3" x14ac:dyDescent="0.25">
      <c r="A8" s="15" t="s">
        <v>380</v>
      </c>
      <c r="B8" s="15" t="s">
        <v>381</v>
      </c>
      <c r="C8" s="15">
        <v>3</v>
      </c>
    </row>
    <row r="10" spans="1:3" x14ac:dyDescent="0.25">
      <c r="A10" s="16" t="s">
        <v>382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 Me</vt:lpstr>
      <vt:lpstr>Raw Data</vt:lpstr>
      <vt:lpstr>Clean List</vt:lpstr>
      <vt:lpstr>Summary</vt:lpstr>
      <vt:lpstr>Change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jhurald lantape</cp:lastModifiedBy>
  <dcterms:created xsi:type="dcterms:W3CDTF">2026-10-07T14:15:42Z</dcterms:created>
  <dcterms:modified xsi:type="dcterms:W3CDTF">2026-10-07T14:15:52Z</dcterms:modified>
</cp:coreProperties>
</file>